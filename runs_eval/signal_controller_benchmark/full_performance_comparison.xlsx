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ravid\updated_worst_case_MARL\runs_eval\signal_controller_benchmark\"/>
    </mc:Choice>
  </mc:AlternateContent>
  <xr:revisionPtr revIDLastSave="0" documentId="13_ncr:1_{E8B9E2C5-52DD-4A0E-B6C2-DF218A80B3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2" l="1"/>
  <c r="V15" i="2"/>
  <c r="S15" i="2"/>
  <c r="P15" i="2"/>
  <c r="M15" i="2"/>
  <c r="J15" i="2"/>
  <c r="G15" i="2"/>
  <c r="D15" i="2"/>
  <c r="E15" i="2"/>
  <c r="F15" i="2"/>
  <c r="H15" i="2"/>
  <c r="I15" i="2"/>
  <c r="K15" i="2"/>
  <c r="L15" i="2"/>
  <c r="N15" i="2"/>
  <c r="O15" i="2"/>
  <c r="Q15" i="2"/>
  <c r="R15" i="2"/>
  <c r="T15" i="2"/>
  <c r="U15" i="2"/>
  <c r="W15" i="2"/>
  <c r="X15" i="2"/>
  <c r="C15" i="2"/>
  <c r="B15" i="2"/>
</calcChain>
</file>

<file path=xl/sharedStrings.xml><?xml version="1.0" encoding="utf-8"?>
<sst xmlns="http://schemas.openxmlformats.org/spreadsheetml/2006/main" count="34" uniqueCount="13">
  <si>
    <t>ia2c queue</t>
  </si>
  <si>
    <t>ia2c average speed</t>
  </si>
  <si>
    <t>ma2c queue</t>
  </si>
  <si>
    <t>ma2c average speed</t>
  </si>
  <si>
    <t>iql-lr queue</t>
  </si>
  <si>
    <t>iql lr average speed</t>
  </si>
  <si>
    <t>ppo queue</t>
  </si>
  <si>
    <t>ppo average speed</t>
  </si>
  <si>
    <t>group_index</t>
  </si>
  <si>
    <t>marl</t>
  </si>
  <si>
    <t>drmarl</t>
  </si>
  <si>
    <t>%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</si>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</sst>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2471-9BD3-43B1-BD1A-F6EB8CAD262A}">
  <dimension ref="A1:Y15"/>
  <sheetViews>
    <sheetView tabSelected="1" workbookViewId="0">
      <selection activeCell="X24" sqref="X24"/>
    </sheetView>
  </sheetViews>
  <sheetFormatPr defaultRowHeight="14.4" x14ac:dyDescent="0.3"/>
  <sheetData>
    <row r="1" spans="1:25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</row>
    <row r="2" spans="1:25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1" t="s">
        <v>9</v>
      </c>
      <c r="X2" s="1" t="s">
        <v>10</v>
      </c>
      <c r="Y2" s="1" t="s">
        <v>11</v>
      </c>
    </row>
    <row r="3" spans="1:25" x14ac:dyDescent="0.3">
      <c r="A3">
        <v>0</v>
      </c>
      <c r="B3" s="1">
        <v>80.66</v>
      </c>
      <c r="C3" s="1">
        <v>82.8</v>
      </c>
      <c r="D3" s="1">
        <v>2.65</v>
      </c>
      <c r="E3" s="1">
        <v>3.63</v>
      </c>
      <c r="F3" s="1">
        <v>3.7</v>
      </c>
      <c r="G3" s="1">
        <v>1.88</v>
      </c>
      <c r="H3" s="1">
        <v>70.22</v>
      </c>
      <c r="I3" s="1">
        <v>76.069999999999993</v>
      </c>
      <c r="J3" s="1">
        <v>8.33</v>
      </c>
      <c r="K3" s="1">
        <v>3.82</v>
      </c>
      <c r="L3" s="1">
        <v>3.98</v>
      </c>
      <c r="M3" s="1">
        <v>4.1100000000000003</v>
      </c>
      <c r="N3" s="1">
        <v>151.29</v>
      </c>
      <c r="O3" s="1">
        <v>185.16</v>
      </c>
      <c r="P3" s="1">
        <v>22.38</v>
      </c>
      <c r="Q3" s="1">
        <v>2.66</v>
      </c>
      <c r="R3" s="1">
        <v>2.27</v>
      </c>
      <c r="S3" s="1">
        <v>-14.55</v>
      </c>
      <c r="T3" s="1">
        <v>77.97</v>
      </c>
      <c r="U3" s="1">
        <v>19.260000000000002</v>
      </c>
      <c r="V3" s="1">
        <v>-75.3</v>
      </c>
      <c r="W3" s="1">
        <v>3.69</v>
      </c>
      <c r="X3" s="1">
        <v>7.48</v>
      </c>
      <c r="Y3" s="1">
        <v>102.68</v>
      </c>
    </row>
    <row r="4" spans="1:25" x14ac:dyDescent="0.3">
      <c r="A4">
        <v>1</v>
      </c>
      <c r="B4" s="1">
        <v>84.23</v>
      </c>
      <c r="C4" s="1">
        <v>98.61</v>
      </c>
      <c r="D4" s="1">
        <v>17.07</v>
      </c>
      <c r="E4" s="1">
        <v>3.32</v>
      </c>
      <c r="F4" s="1">
        <v>3.25</v>
      </c>
      <c r="G4" s="1">
        <v>-2.25</v>
      </c>
      <c r="H4" s="1">
        <v>75.959999999999994</v>
      </c>
      <c r="I4" s="1">
        <v>77.33</v>
      </c>
      <c r="J4" s="1">
        <v>1.8</v>
      </c>
      <c r="K4" s="1">
        <v>3.63</v>
      </c>
      <c r="L4" s="1">
        <v>3.97</v>
      </c>
      <c r="M4" s="1">
        <v>9.23</v>
      </c>
      <c r="N4" s="1">
        <v>157</v>
      </c>
      <c r="O4" s="1">
        <v>83.4</v>
      </c>
      <c r="P4" s="1">
        <v>-46.88</v>
      </c>
      <c r="Q4" s="1">
        <v>2.82</v>
      </c>
      <c r="R4" s="1">
        <v>5.03</v>
      </c>
      <c r="S4" s="1">
        <v>78.44</v>
      </c>
      <c r="T4" s="1">
        <v>94.53</v>
      </c>
      <c r="U4" s="1">
        <v>19.12</v>
      </c>
      <c r="V4" s="1">
        <v>-79.78</v>
      </c>
      <c r="W4" s="1">
        <v>3.46</v>
      </c>
      <c r="X4" s="1">
        <v>7.35</v>
      </c>
      <c r="Y4" s="1">
        <v>112.62</v>
      </c>
    </row>
    <row r="5" spans="1:25" x14ac:dyDescent="0.3">
      <c r="A5">
        <v>2</v>
      </c>
      <c r="B5" s="1">
        <v>219.52</v>
      </c>
      <c r="C5" s="1">
        <v>179.72</v>
      </c>
      <c r="D5" s="1">
        <v>-18.13</v>
      </c>
      <c r="E5" s="1">
        <v>2.06</v>
      </c>
      <c r="F5" s="1">
        <v>2.58</v>
      </c>
      <c r="G5" s="1">
        <v>25.33</v>
      </c>
      <c r="H5" s="1">
        <v>203.02</v>
      </c>
      <c r="I5" s="1">
        <v>144.94</v>
      </c>
      <c r="J5" s="1">
        <v>-28.61</v>
      </c>
      <c r="K5" s="1">
        <v>2.37</v>
      </c>
      <c r="L5" s="1">
        <v>3.11</v>
      </c>
      <c r="M5" s="1">
        <v>31.13</v>
      </c>
      <c r="N5" s="1">
        <v>351.08</v>
      </c>
      <c r="O5" s="1">
        <v>279.7</v>
      </c>
      <c r="P5" s="1">
        <v>-20.329999999999998</v>
      </c>
      <c r="Q5" s="1">
        <v>1.74</v>
      </c>
      <c r="R5" s="1">
        <v>2.88</v>
      </c>
      <c r="S5" s="1">
        <v>65.73</v>
      </c>
      <c r="T5" s="1">
        <v>250</v>
      </c>
      <c r="U5" s="1">
        <v>9.18</v>
      </c>
      <c r="V5" s="1">
        <v>-96.33</v>
      </c>
      <c r="W5" s="1">
        <v>1.91</v>
      </c>
      <c r="X5" s="1">
        <v>10.43</v>
      </c>
      <c r="Y5" s="1">
        <v>446.1</v>
      </c>
    </row>
    <row r="6" spans="1:25" x14ac:dyDescent="0.3">
      <c r="A6">
        <v>3</v>
      </c>
      <c r="B6" s="1">
        <v>160.65</v>
      </c>
      <c r="C6" s="1">
        <v>174.81</v>
      </c>
      <c r="D6" s="1">
        <v>8.81</v>
      </c>
      <c r="E6" s="1">
        <v>2.84</v>
      </c>
      <c r="F6" s="1">
        <v>2.77</v>
      </c>
      <c r="G6" s="1">
        <v>-2.7</v>
      </c>
      <c r="H6" s="1">
        <v>187.83</v>
      </c>
      <c r="I6" s="1">
        <v>124.52</v>
      </c>
      <c r="J6" s="1">
        <v>-33.71</v>
      </c>
      <c r="K6" s="1">
        <v>2.7</v>
      </c>
      <c r="L6" s="1">
        <v>3.38</v>
      </c>
      <c r="M6" s="1">
        <v>25.48</v>
      </c>
      <c r="N6" s="1">
        <v>177.77</v>
      </c>
      <c r="O6" s="1">
        <v>60.66</v>
      </c>
      <c r="P6" s="1">
        <v>-65.87</v>
      </c>
      <c r="Q6" s="1">
        <v>3.49</v>
      </c>
      <c r="R6" s="1">
        <v>7.32</v>
      </c>
      <c r="S6" s="1">
        <v>109.55</v>
      </c>
      <c r="T6" s="1">
        <v>90.25</v>
      </c>
      <c r="U6" s="1">
        <v>9.09</v>
      </c>
      <c r="V6" s="1">
        <v>-89.93</v>
      </c>
      <c r="W6" s="1">
        <v>3.77</v>
      </c>
      <c r="X6" s="1">
        <v>10.39</v>
      </c>
      <c r="Y6" s="1">
        <v>175.63</v>
      </c>
    </row>
    <row r="7" spans="1:25" x14ac:dyDescent="0.3">
      <c r="A7">
        <v>4</v>
      </c>
      <c r="B7" s="1">
        <v>142.56</v>
      </c>
      <c r="C7" s="1">
        <v>136.07</v>
      </c>
      <c r="D7" s="1">
        <v>-4.55</v>
      </c>
      <c r="E7" s="1">
        <v>2.5</v>
      </c>
      <c r="F7" s="1">
        <v>2.66</v>
      </c>
      <c r="G7" s="1">
        <v>6.37</v>
      </c>
      <c r="H7" s="1">
        <v>136.69</v>
      </c>
      <c r="I7" s="1">
        <v>129.76</v>
      </c>
      <c r="J7" s="1">
        <v>-5.07</v>
      </c>
      <c r="K7" s="1">
        <v>2.6</v>
      </c>
      <c r="L7" s="1">
        <v>2.78</v>
      </c>
      <c r="M7" s="1">
        <v>6.66</v>
      </c>
      <c r="N7" s="1">
        <v>269.01</v>
      </c>
      <c r="O7" s="1">
        <v>141.05000000000001</v>
      </c>
      <c r="P7" s="1">
        <v>-47.57</v>
      </c>
      <c r="Q7" s="1">
        <v>1.73</v>
      </c>
      <c r="R7" s="1">
        <v>3.25</v>
      </c>
      <c r="S7" s="1">
        <v>87.24</v>
      </c>
      <c r="T7" s="1">
        <v>123.89</v>
      </c>
      <c r="U7" s="1">
        <v>33.68</v>
      </c>
      <c r="V7" s="1">
        <v>-72.819999999999993</v>
      </c>
      <c r="W7" s="1">
        <v>2.8</v>
      </c>
      <c r="X7" s="1">
        <v>5.96</v>
      </c>
      <c r="Y7" s="1">
        <v>112.82</v>
      </c>
    </row>
    <row r="8" spans="1:25" x14ac:dyDescent="0.3">
      <c r="A8">
        <v>5</v>
      </c>
      <c r="B8" s="1">
        <v>136.91999999999999</v>
      </c>
      <c r="C8" s="1">
        <v>148.13999999999999</v>
      </c>
      <c r="D8" s="1">
        <v>8.1999999999999993</v>
      </c>
      <c r="E8" s="1">
        <v>2.77</v>
      </c>
      <c r="F8" s="1">
        <v>2.63</v>
      </c>
      <c r="G8" s="1">
        <v>-5.19</v>
      </c>
      <c r="H8" s="1">
        <v>149.09</v>
      </c>
      <c r="I8" s="1">
        <v>130.47</v>
      </c>
      <c r="J8" s="1">
        <v>-12.49</v>
      </c>
      <c r="K8" s="1">
        <v>2.46</v>
      </c>
      <c r="L8" s="1">
        <v>2.78</v>
      </c>
      <c r="M8" s="1">
        <v>13.24</v>
      </c>
      <c r="N8" s="1">
        <v>225.21</v>
      </c>
      <c r="O8" s="1">
        <v>95.11</v>
      </c>
      <c r="P8" s="1">
        <v>-57.77</v>
      </c>
      <c r="Q8" s="1">
        <v>2.4900000000000002</v>
      </c>
      <c r="R8" s="1">
        <v>3.78</v>
      </c>
      <c r="S8" s="1">
        <v>51.6</v>
      </c>
      <c r="T8" s="1">
        <v>113.87</v>
      </c>
      <c r="U8" s="1">
        <v>36.630000000000003</v>
      </c>
      <c r="V8" s="1">
        <v>-67.83</v>
      </c>
      <c r="W8" s="1">
        <v>3.33</v>
      </c>
      <c r="X8" s="1">
        <v>5.74</v>
      </c>
      <c r="Y8" s="1">
        <v>72.48</v>
      </c>
    </row>
    <row r="9" spans="1:25" x14ac:dyDescent="0.3">
      <c r="A9">
        <v>6</v>
      </c>
      <c r="B9" s="1">
        <v>182.82</v>
      </c>
      <c r="C9" s="1">
        <v>155.51</v>
      </c>
      <c r="D9" s="1">
        <v>-14.93</v>
      </c>
      <c r="E9" s="1">
        <v>2.2200000000000002</v>
      </c>
      <c r="F9" s="1">
        <v>2.4900000000000002</v>
      </c>
      <c r="G9" s="1">
        <v>12.02</v>
      </c>
      <c r="H9" s="1">
        <v>172.06</v>
      </c>
      <c r="I9" s="1">
        <v>148.93</v>
      </c>
      <c r="J9" s="1">
        <v>-13.44</v>
      </c>
      <c r="K9" s="1">
        <v>2.21</v>
      </c>
      <c r="L9" s="1">
        <v>2.63</v>
      </c>
      <c r="M9" s="1">
        <v>19</v>
      </c>
      <c r="N9" s="1">
        <v>118.24</v>
      </c>
      <c r="O9" s="1">
        <v>253.01</v>
      </c>
      <c r="P9" s="1">
        <v>113.98</v>
      </c>
      <c r="Q9" s="1">
        <v>3.27</v>
      </c>
      <c r="R9" s="1">
        <v>2</v>
      </c>
      <c r="S9" s="1">
        <v>-38.82</v>
      </c>
      <c r="T9" s="1">
        <v>92.37</v>
      </c>
      <c r="U9" s="1">
        <v>20.96</v>
      </c>
      <c r="V9" s="1">
        <v>-77.31</v>
      </c>
      <c r="W9" s="1">
        <v>3.82</v>
      </c>
      <c r="X9" s="1">
        <v>7.08</v>
      </c>
      <c r="Y9" s="1">
        <v>85.19</v>
      </c>
    </row>
    <row r="10" spans="1:25" x14ac:dyDescent="0.3">
      <c r="A10">
        <v>7</v>
      </c>
      <c r="B10" s="1">
        <v>152.47</v>
      </c>
      <c r="C10" s="1">
        <v>149.88999999999999</v>
      </c>
      <c r="D10" s="1">
        <v>-1.69</v>
      </c>
      <c r="E10" s="1">
        <v>2.57</v>
      </c>
      <c r="F10" s="1">
        <v>2.58</v>
      </c>
      <c r="G10" s="1">
        <v>0.38</v>
      </c>
      <c r="H10" s="1">
        <v>151.24</v>
      </c>
      <c r="I10" s="1">
        <v>137.29</v>
      </c>
      <c r="J10" s="1">
        <v>-9.2200000000000006</v>
      </c>
      <c r="K10" s="1">
        <v>2.5</v>
      </c>
      <c r="L10" s="1">
        <v>2.83</v>
      </c>
      <c r="M10" s="1">
        <v>13.12</v>
      </c>
      <c r="N10" s="1">
        <v>259.14999999999998</v>
      </c>
      <c r="O10" s="1">
        <v>97.29</v>
      </c>
      <c r="P10" s="1">
        <v>-62.46</v>
      </c>
      <c r="Q10" s="1">
        <v>1.55</v>
      </c>
      <c r="R10" s="1">
        <v>3.83</v>
      </c>
      <c r="S10" s="1">
        <v>146.68</v>
      </c>
      <c r="T10" s="1">
        <v>98.53</v>
      </c>
      <c r="U10" s="1">
        <v>20.77</v>
      </c>
      <c r="V10" s="1">
        <v>-78.92</v>
      </c>
      <c r="W10" s="1">
        <v>3.62</v>
      </c>
      <c r="X10" s="1">
        <v>7.15</v>
      </c>
      <c r="Y10" s="1">
        <v>97.59</v>
      </c>
    </row>
    <row r="11" spans="1:25" x14ac:dyDescent="0.3">
      <c r="A11">
        <v>8</v>
      </c>
      <c r="B11" s="1">
        <v>57.51</v>
      </c>
      <c r="C11" s="1">
        <v>48.7</v>
      </c>
      <c r="D11" s="1">
        <v>-15.32</v>
      </c>
      <c r="E11" s="1">
        <v>5.42</v>
      </c>
      <c r="F11" s="1">
        <v>5.84</v>
      </c>
      <c r="G11" s="1">
        <v>7.78</v>
      </c>
      <c r="H11" s="1">
        <v>51.3</v>
      </c>
      <c r="I11" s="1">
        <v>40.99</v>
      </c>
      <c r="J11" s="1">
        <v>-20.100000000000001</v>
      </c>
      <c r="K11" s="1">
        <v>5.68</v>
      </c>
      <c r="L11" s="1">
        <v>6.27</v>
      </c>
      <c r="M11" s="1">
        <v>10.39</v>
      </c>
      <c r="N11" s="1">
        <v>66.900000000000006</v>
      </c>
      <c r="O11" s="1">
        <v>10.36</v>
      </c>
      <c r="P11" s="1">
        <v>-84.51</v>
      </c>
      <c r="Q11" s="1">
        <v>5.79</v>
      </c>
      <c r="R11" s="1">
        <v>9.15</v>
      </c>
      <c r="S11" s="1">
        <v>57.95</v>
      </c>
      <c r="T11" s="1">
        <v>48.3</v>
      </c>
      <c r="U11" s="1">
        <v>5.27</v>
      </c>
      <c r="V11" s="1">
        <v>-89.1</v>
      </c>
      <c r="W11" s="1">
        <v>5.89</v>
      </c>
      <c r="X11" s="1">
        <v>9.9499999999999993</v>
      </c>
      <c r="Y11" s="1">
        <v>69.08</v>
      </c>
    </row>
    <row r="12" spans="1:25" x14ac:dyDescent="0.3">
      <c r="A12">
        <v>9</v>
      </c>
      <c r="B12" s="1">
        <v>55.76</v>
      </c>
      <c r="C12" s="1">
        <v>47.14</v>
      </c>
      <c r="D12" s="1">
        <v>-15.46</v>
      </c>
      <c r="E12" s="1">
        <v>5.48</v>
      </c>
      <c r="F12" s="1">
        <v>5.9</v>
      </c>
      <c r="G12" s="1">
        <v>7.66</v>
      </c>
      <c r="H12" s="1">
        <v>53.94</v>
      </c>
      <c r="I12" s="1">
        <v>40.729999999999997</v>
      </c>
      <c r="J12" s="1">
        <v>-24.49</v>
      </c>
      <c r="K12" s="1">
        <v>5.58</v>
      </c>
      <c r="L12" s="1">
        <v>6.3</v>
      </c>
      <c r="M12" s="1">
        <v>12.86</v>
      </c>
      <c r="N12" s="1">
        <v>50.66</v>
      </c>
      <c r="O12" s="1">
        <v>8.64</v>
      </c>
      <c r="P12" s="1">
        <v>-82.94</v>
      </c>
      <c r="Q12" s="1">
        <v>6.08</v>
      </c>
      <c r="R12" s="1">
        <v>9.44</v>
      </c>
      <c r="S12" s="1">
        <v>55.07</v>
      </c>
      <c r="T12" s="1">
        <v>49.58</v>
      </c>
      <c r="U12" s="1">
        <v>4.4800000000000004</v>
      </c>
      <c r="V12" s="1">
        <v>-90.97</v>
      </c>
      <c r="W12" s="1">
        <v>5.79</v>
      </c>
      <c r="X12" s="1">
        <v>10.11</v>
      </c>
      <c r="Y12" s="1">
        <v>74.53</v>
      </c>
    </row>
    <row r="13" spans="1:25" x14ac:dyDescent="0.3">
      <c r="A13">
        <v>10</v>
      </c>
      <c r="B13" s="1">
        <v>53.85</v>
      </c>
      <c r="C13" s="1">
        <v>48.53</v>
      </c>
      <c r="D13" s="1">
        <v>-9.8800000000000008</v>
      </c>
      <c r="E13" s="1">
        <v>5.65</v>
      </c>
      <c r="F13" s="1">
        <v>5.9</v>
      </c>
      <c r="G13" s="1">
        <v>4.51</v>
      </c>
      <c r="H13" s="1">
        <v>52.32</v>
      </c>
      <c r="I13" s="1">
        <v>41.33</v>
      </c>
      <c r="J13" s="1">
        <v>-21.01</v>
      </c>
      <c r="K13" s="1">
        <v>5.75</v>
      </c>
      <c r="L13" s="1">
        <v>6.31</v>
      </c>
      <c r="M13" s="1">
        <v>9.73</v>
      </c>
      <c r="N13" s="1">
        <v>48.88</v>
      </c>
      <c r="O13" s="1">
        <v>10.18</v>
      </c>
      <c r="P13" s="1">
        <v>-79.17</v>
      </c>
      <c r="Q13" s="1">
        <v>6.46</v>
      </c>
      <c r="R13" s="1">
        <v>9.2200000000000006</v>
      </c>
      <c r="S13" s="1">
        <v>42.7</v>
      </c>
      <c r="T13" s="1">
        <v>49.37</v>
      </c>
      <c r="U13" s="1">
        <v>5</v>
      </c>
      <c r="V13" s="1">
        <v>-89.88</v>
      </c>
      <c r="W13" s="1">
        <v>5.87</v>
      </c>
      <c r="X13" s="1">
        <v>10.050000000000001</v>
      </c>
      <c r="Y13" s="1">
        <v>71.28</v>
      </c>
    </row>
    <row r="14" spans="1:25" x14ac:dyDescent="0.3">
      <c r="A14">
        <v>11</v>
      </c>
      <c r="B14" s="1">
        <v>46.78</v>
      </c>
      <c r="C14" s="1">
        <v>44.48</v>
      </c>
      <c r="D14" s="1">
        <v>-4.91</v>
      </c>
      <c r="E14" s="1">
        <v>4.8600000000000003</v>
      </c>
      <c r="F14" s="1">
        <v>4.93</v>
      </c>
      <c r="G14" s="1">
        <v>1.46</v>
      </c>
      <c r="H14" s="1">
        <v>43.11</v>
      </c>
      <c r="I14" s="1">
        <v>36.92</v>
      </c>
      <c r="J14" s="1">
        <v>-14.35</v>
      </c>
      <c r="K14" s="1">
        <v>4.92</v>
      </c>
      <c r="L14" s="1">
        <v>5.38</v>
      </c>
      <c r="M14" s="1">
        <v>9.34</v>
      </c>
      <c r="N14" s="1">
        <v>38.49</v>
      </c>
      <c r="O14" s="1">
        <v>32.21</v>
      </c>
      <c r="P14" s="1">
        <v>-16.3</v>
      </c>
      <c r="Q14" s="1">
        <v>5.45</v>
      </c>
      <c r="R14" s="1">
        <v>6.38</v>
      </c>
      <c r="S14" s="1">
        <v>17.07</v>
      </c>
      <c r="T14" s="1">
        <v>45.54</v>
      </c>
      <c r="U14" s="1">
        <v>4.13</v>
      </c>
      <c r="V14" s="1">
        <v>-90.93</v>
      </c>
      <c r="W14" s="1">
        <v>4.78</v>
      </c>
      <c r="X14" s="1">
        <v>10.09</v>
      </c>
      <c r="Y14" s="1">
        <v>111.28</v>
      </c>
    </row>
    <row r="15" spans="1:25" x14ac:dyDescent="0.3">
      <c r="A15" t="s">
        <v>12</v>
      </c>
      <c r="B15" s="1">
        <f>AVERAGE(B3:B14)</f>
        <v>114.47749999999998</v>
      </c>
      <c r="C15" s="1">
        <f>AVERAGE(C3:C14)</f>
        <v>109.53333333333335</v>
      </c>
      <c r="D15" s="1">
        <f>(C15-B15)/B15*100</f>
        <v>-4.3188981823210968</v>
      </c>
      <c r="E15" s="1">
        <f t="shared" ref="D15:Y15" si="0">AVERAGE(E3:E14)</f>
        <v>3.61</v>
      </c>
      <c r="F15" s="1">
        <f t="shared" si="0"/>
        <v>3.7691666666666666</v>
      </c>
      <c r="G15" s="1">
        <f>(F15-E15)/E15*100</f>
        <v>4.409048938134811</v>
      </c>
      <c r="H15" s="1">
        <f t="shared" si="0"/>
        <v>112.23166666666667</v>
      </c>
      <c r="I15" s="1">
        <f t="shared" si="0"/>
        <v>94.106666666666669</v>
      </c>
      <c r="J15" s="1">
        <f>(I15-H15)/H15*100</f>
        <v>-16.1496309716509</v>
      </c>
      <c r="K15" s="1">
        <f t="shared" si="0"/>
        <v>3.6850000000000001</v>
      </c>
      <c r="L15" s="1">
        <f t="shared" si="0"/>
        <v>4.1433333333333335</v>
      </c>
      <c r="M15" s="1">
        <f>(L15-K15)/K15*100</f>
        <v>12.437810945273636</v>
      </c>
      <c r="N15" s="1">
        <f t="shared" si="0"/>
        <v>159.47333333333336</v>
      </c>
      <c r="O15" s="1">
        <f t="shared" si="0"/>
        <v>104.73083333333335</v>
      </c>
      <c r="P15" s="1">
        <f>(O15-N15)/N15*100</f>
        <v>-34.3270557250951</v>
      </c>
      <c r="Q15" s="1">
        <f t="shared" si="0"/>
        <v>3.6275000000000008</v>
      </c>
      <c r="R15" s="1">
        <f t="shared" si="0"/>
        <v>5.3791666666666664</v>
      </c>
      <c r="S15" s="1">
        <f>(R15-Q15)/Q15*100</f>
        <v>48.288536641396696</v>
      </c>
      <c r="T15" s="1">
        <f t="shared" si="0"/>
        <v>94.516666666666652</v>
      </c>
      <c r="U15" s="1">
        <f t="shared" si="0"/>
        <v>15.630833333333335</v>
      </c>
      <c r="V15" s="1">
        <f>(U15-T15)/T15*100</f>
        <v>-83.462352318815022</v>
      </c>
      <c r="W15" s="1">
        <f t="shared" si="0"/>
        <v>4.0608333333333331</v>
      </c>
      <c r="X15" s="1">
        <f t="shared" si="0"/>
        <v>8.4816666666666674</v>
      </c>
      <c r="Y15" s="1">
        <f>(X15-W15)/W15*100</f>
        <v>108.86517545659761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Travid</dc:creator>
  <cp:lastModifiedBy>Travid Pei</cp:lastModifiedBy>
  <dcterms:created xsi:type="dcterms:W3CDTF">2015-06-05T18:17:20Z</dcterms:created>
  <dcterms:modified xsi:type="dcterms:W3CDTF">2026-04-20T12:37:44Z</dcterms:modified>
</cp:coreProperties>
</file>