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ravid\updated_worst_case_MARL\runs_eval\signal_controller_benchmark_real\"/>
    </mc:Choice>
  </mc:AlternateContent>
  <xr:revisionPtr revIDLastSave="0" documentId="13_ncr:1_{453D295B-D11E-41E6-81CF-024554524ED1}" xr6:coauthVersionLast="47" xr6:coauthVersionMax="47" xr10:uidLastSave="{00000000-0000-0000-0000-000000000000}"/>
  <bookViews>
    <workbookView xWindow="-23148" yWindow="418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" l="1"/>
  <c r="Y15" i="2"/>
  <c r="V15" i="2"/>
  <c r="S15" i="2"/>
  <c r="M15" i="2"/>
  <c r="J15" i="2"/>
  <c r="G15" i="2"/>
  <c r="D15" i="2"/>
  <c r="X15" i="2"/>
  <c r="W15" i="2"/>
  <c r="U15" i="2"/>
  <c r="T15" i="2"/>
  <c r="R15" i="2"/>
  <c r="Q15" i="2"/>
  <c r="O15" i="2"/>
  <c r="N15" i="2"/>
  <c r="L15" i="2"/>
  <c r="K15" i="2"/>
  <c r="I15" i="2"/>
  <c r="H15" i="2"/>
  <c r="F15" i="2"/>
  <c r="E15" i="2"/>
  <c r="C15" i="2"/>
  <c r="B15" i="2"/>
  <c r="Y14" i="2"/>
  <c r="V14" i="2"/>
  <c r="S14" i="2"/>
  <c r="P14" i="2"/>
  <c r="M14" i="2"/>
  <c r="J14" i="2"/>
  <c r="G14" i="2"/>
  <c r="D14" i="2"/>
  <c r="Y13" i="2"/>
  <c r="V13" i="2"/>
  <c r="S13" i="2"/>
  <c r="P13" i="2"/>
  <c r="M13" i="2"/>
  <c r="J13" i="2"/>
  <c r="G13" i="2"/>
  <c r="D13" i="2"/>
  <c r="Y12" i="2"/>
  <c r="V12" i="2"/>
  <c r="S12" i="2"/>
  <c r="P12" i="2"/>
  <c r="M12" i="2"/>
  <c r="J12" i="2"/>
  <c r="G12" i="2"/>
  <c r="D12" i="2"/>
  <c r="Y11" i="2"/>
  <c r="V11" i="2"/>
  <c r="S11" i="2"/>
  <c r="P11" i="2"/>
  <c r="M11" i="2"/>
  <c r="J11" i="2"/>
  <c r="G11" i="2"/>
  <c r="D11" i="2"/>
  <c r="Y10" i="2"/>
  <c r="V10" i="2"/>
  <c r="S10" i="2"/>
  <c r="P10" i="2"/>
  <c r="M10" i="2"/>
  <c r="J10" i="2"/>
  <c r="G10" i="2"/>
  <c r="D10" i="2"/>
  <c r="Y9" i="2"/>
  <c r="V9" i="2"/>
  <c r="S9" i="2"/>
  <c r="P9" i="2"/>
  <c r="M9" i="2"/>
  <c r="J9" i="2"/>
  <c r="G9" i="2"/>
  <c r="D9" i="2"/>
  <c r="Y8" i="2"/>
  <c r="V8" i="2"/>
  <c r="S8" i="2"/>
  <c r="P8" i="2"/>
  <c r="M8" i="2"/>
  <c r="J8" i="2"/>
  <c r="G8" i="2"/>
  <c r="D8" i="2"/>
  <c r="Y7" i="2"/>
  <c r="V7" i="2"/>
  <c r="S7" i="2"/>
  <c r="P7" i="2"/>
  <c r="M7" i="2"/>
  <c r="J7" i="2"/>
  <c r="G7" i="2"/>
  <c r="D7" i="2"/>
  <c r="Y6" i="2"/>
  <c r="V6" i="2"/>
  <c r="S6" i="2"/>
  <c r="P6" i="2"/>
  <c r="M6" i="2"/>
  <c r="J6" i="2"/>
  <c r="G6" i="2"/>
  <c r="D6" i="2"/>
  <c r="Y5" i="2"/>
  <c r="V5" i="2"/>
  <c r="S5" i="2"/>
  <c r="P5" i="2"/>
  <c r="M5" i="2"/>
  <c r="J5" i="2"/>
  <c r="G5" i="2"/>
  <c r="D5" i="2"/>
  <c r="Y4" i="2"/>
  <c r="V4" i="2"/>
  <c r="S4" i="2"/>
  <c r="P4" i="2"/>
  <c r="M4" i="2"/>
  <c r="J4" i="2"/>
  <c r="G4" i="2"/>
  <c r="D4" i="2"/>
  <c r="Y3" i="2"/>
  <c r="V3" i="2"/>
  <c r="S3" i="2"/>
  <c r="P3" i="2"/>
  <c r="M3" i="2"/>
  <c r="J3" i="2"/>
  <c r="G3" i="2"/>
  <c r="D3" i="2"/>
</calcChain>
</file>

<file path=xl/sharedStrings.xml><?xml version="1.0" encoding="utf-8"?>
<sst xmlns="http://schemas.openxmlformats.org/spreadsheetml/2006/main" count="33" uniqueCount="12">
  <si>
    <t>ia2c queue</t>
  </si>
  <si>
    <t>ia2c average speed</t>
  </si>
  <si>
    <t>ma2c queue</t>
  </si>
  <si>
    <t>ma2c average speed</t>
  </si>
  <si>
    <t>iql-lr queue</t>
  </si>
  <si>
    <t>iql lr average speed</t>
  </si>
  <si>
    <t>ppo queue</t>
  </si>
  <si>
    <t>ppo average speed</t>
  </si>
  <si>
    <t>group_index</t>
  </si>
  <si>
    <t>marl</t>
  </si>
  <si>
    <t>drmarl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</si>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</sst>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80CF-596F-4D58-ABD4-C80E1B1299A7}">
  <dimension ref="A1:Y15"/>
  <sheetViews>
    <sheetView tabSelected="1" topLeftCell="C1" workbookViewId="0">
      <selection activeCell="Y15" sqref="Y15"/>
    </sheetView>
  </sheetViews>
  <sheetFormatPr defaultRowHeight="14.4" x14ac:dyDescent="0.3"/>
  <sheetData>
    <row r="1" spans="1:25" x14ac:dyDescent="0.3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  <c r="T1" s="3" t="s">
        <v>6</v>
      </c>
      <c r="U1" s="3"/>
      <c r="V1" s="3"/>
      <c r="W1" s="3" t="s">
        <v>7</v>
      </c>
      <c r="X1" s="3"/>
      <c r="Y1" s="3"/>
    </row>
    <row r="2" spans="1:25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1" t="s">
        <v>9</v>
      </c>
      <c r="X2" s="1" t="s">
        <v>10</v>
      </c>
      <c r="Y2" s="1" t="s">
        <v>11</v>
      </c>
    </row>
    <row r="3" spans="1:25" x14ac:dyDescent="0.3">
      <c r="A3" s="1">
        <v>0</v>
      </c>
      <c r="B3" s="1">
        <v>9.77077777777777</v>
      </c>
      <c r="C3" s="2">
        <v>1.08388888888888</v>
      </c>
      <c r="D3" s="1">
        <f t="shared" ref="D3:D14" si="0">(C3-B3)/B3*100</f>
        <v>-88.906831026757871</v>
      </c>
      <c r="E3" s="2">
        <v>3.71384282840227</v>
      </c>
      <c r="F3" s="2">
        <v>9.6477502878944694</v>
      </c>
      <c r="G3" s="1">
        <f>(F3-E3)/E3*100</f>
        <v>159.77809868828029</v>
      </c>
      <c r="H3" s="2">
        <v>4.3949166666666697</v>
      </c>
      <c r="I3" s="2">
        <v>1.0754722222222199</v>
      </c>
      <c r="J3" s="1">
        <f>(I3-H3)/H3*100</f>
        <v>-75.529178280462986</v>
      </c>
      <c r="K3" s="2">
        <v>7.0258078303750002</v>
      </c>
      <c r="L3" s="1">
        <v>9.5140489162444499</v>
      </c>
      <c r="M3" s="1">
        <f>(L3-K3)/K3*100</f>
        <v>35.415729350181223</v>
      </c>
      <c r="N3" s="2">
        <v>19.537388888888898</v>
      </c>
      <c r="O3" s="2">
        <v>2.3400833333333302</v>
      </c>
      <c r="P3" s="1">
        <f>(O3-N3)/N3*100</f>
        <v>-88.022537982728295</v>
      </c>
      <c r="Q3" s="2">
        <v>5.4335564625088697</v>
      </c>
      <c r="R3" s="1">
        <v>9.1800959913692992</v>
      </c>
      <c r="S3" s="1">
        <f>(R3-Q3)/Q3*100</f>
        <v>68.951883627441262</v>
      </c>
      <c r="T3" s="2">
        <v>11.344333333333299</v>
      </c>
      <c r="U3" s="2">
        <v>2.21472222222221</v>
      </c>
      <c r="V3" s="1">
        <f>(U3-T3)/T3*100</f>
        <v>-80.477281853886964</v>
      </c>
      <c r="W3" s="2">
        <v>3.3339602573302698</v>
      </c>
      <c r="X3" s="2">
        <v>6.8142765018616496</v>
      </c>
      <c r="Y3" s="1">
        <f>(X3-W3)/W3*100</f>
        <v>104.38985398459151</v>
      </c>
    </row>
    <row r="4" spans="1:25" x14ac:dyDescent="0.3">
      <c r="A4" s="1">
        <v>1</v>
      </c>
      <c r="B4" s="2">
        <v>29.502388888888799</v>
      </c>
      <c r="C4" s="2">
        <v>55.493277777777699</v>
      </c>
      <c r="D4" s="1">
        <f t="shared" si="0"/>
        <v>88.097574019429999</v>
      </c>
      <c r="E4" s="2">
        <v>2.64599311752611</v>
      </c>
      <c r="F4" s="2">
        <v>3.1116940807749902</v>
      </c>
      <c r="G4" s="1">
        <f t="shared" ref="G4:G14" si="1">(F4-E4)/E4*100</f>
        <v>17.600233355266269</v>
      </c>
      <c r="H4" s="2">
        <v>48.899138888888899</v>
      </c>
      <c r="I4" s="2">
        <v>47.204055555555399</v>
      </c>
      <c r="J4" s="1">
        <f t="shared" ref="J4:J14" si="2">(I4-H4)/H4*100</f>
        <v>-3.4664891281319985</v>
      </c>
      <c r="K4" s="2">
        <v>2.94112434263333</v>
      </c>
      <c r="L4" s="2">
        <v>3.1528524887027798</v>
      </c>
      <c r="M4" s="1">
        <f t="shared" ref="M4:M14" si="3">(L4-K4)/K4*100</f>
        <v>7.1988845558253205</v>
      </c>
      <c r="N4" s="2">
        <v>67.131638888888801</v>
      </c>
      <c r="O4" s="2">
        <v>56.648722222222197</v>
      </c>
      <c r="P4" s="1">
        <f t="shared" ref="P4:P14" si="4">(O4-N4)/N4*100</f>
        <v>-15.615463647501787</v>
      </c>
      <c r="Q4" s="2">
        <v>1.7900516772788799</v>
      </c>
      <c r="R4" s="2">
        <v>3.0768044260555398</v>
      </c>
      <c r="S4" s="1">
        <f t="shared" ref="S4:S14" si="5">(R4-Q4)/Q4*100</f>
        <v>71.883553145945911</v>
      </c>
      <c r="T4" s="2">
        <v>58.062944444444298</v>
      </c>
      <c r="U4" s="2">
        <v>55.083999999999897</v>
      </c>
      <c r="V4" s="1">
        <f t="shared" ref="V4:V14" si="6">(U4-T4)/T4*100</f>
        <v>-5.1305431940240487</v>
      </c>
      <c r="W4" s="2">
        <v>1.8189310406019401</v>
      </c>
      <c r="X4" s="2">
        <v>2.9153542295074901</v>
      </c>
      <c r="Y4" s="1">
        <f t="shared" ref="Y4:Y14" si="7">(X4-W4)/W4*100</f>
        <v>60.278436314040249</v>
      </c>
    </row>
    <row r="5" spans="1:25" x14ac:dyDescent="0.3">
      <c r="A5" s="1">
        <v>2</v>
      </c>
      <c r="B5" s="2">
        <v>31.233555555555501</v>
      </c>
      <c r="C5" s="2">
        <v>4.3275277777777799</v>
      </c>
      <c r="D5" s="1">
        <f t="shared" si="0"/>
        <v>-86.144620102311592</v>
      </c>
      <c r="E5" s="2">
        <v>2.3685459676178899</v>
      </c>
      <c r="F5" s="2">
        <v>8.7672755550566599</v>
      </c>
      <c r="G5" s="1">
        <f t="shared" si="1"/>
        <v>270.15433413243585</v>
      </c>
      <c r="H5" s="2">
        <v>11.3679722222222</v>
      </c>
      <c r="I5" s="2">
        <v>6.5942777777777604</v>
      </c>
      <c r="J5" s="1">
        <f t="shared" si="2"/>
        <v>-41.992488643777513</v>
      </c>
      <c r="K5" s="2">
        <v>6.6270047480955396</v>
      </c>
      <c r="L5" s="2">
        <v>7.5129461489833096</v>
      </c>
      <c r="M5" s="1">
        <f t="shared" si="3"/>
        <v>13.368654989154349</v>
      </c>
      <c r="N5" s="2">
        <v>96.687722222222206</v>
      </c>
      <c r="O5" s="2">
        <v>13.3876111111111</v>
      </c>
      <c r="P5" s="1">
        <f t="shared" si="4"/>
        <v>-86.153763059655404</v>
      </c>
      <c r="Q5" s="2">
        <v>1.3086155257724701</v>
      </c>
      <c r="R5" s="1">
        <v>6.1132330135136597</v>
      </c>
      <c r="S5" s="1">
        <f t="shared" si="5"/>
        <v>367.15271927597263</v>
      </c>
      <c r="T5" s="2">
        <v>32.844472222222201</v>
      </c>
      <c r="U5" s="2">
        <v>5.4121666666666597</v>
      </c>
      <c r="V5" s="1">
        <f t="shared" si="6"/>
        <v>-83.521833963266275</v>
      </c>
      <c r="W5" s="2">
        <v>2.5197069941729202</v>
      </c>
      <c r="X5" s="2">
        <v>7.9319773170500003</v>
      </c>
      <c r="Y5" s="1">
        <f t="shared" si="7"/>
        <v>214.79760684053772</v>
      </c>
    </row>
    <row r="6" spans="1:25" x14ac:dyDescent="0.3">
      <c r="A6" s="1">
        <v>3</v>
      </c>
      <c r="B6" s="1">
        <v>43.252555555555404</v>
      </c>
      <c r="C6" s="2">
        <v>11.159750000000001</v>
      </c>
      <c r="D6" s="1">
        <f t="shared" si="0"/>
        <v>-74.198634377416255</v>
      </c>
      <c r="E6" s="2">
        <v>2.6717884510469299</v>
      </c>
      <c r="F6" s="2">
        <v>6.2471977303944302</v>
      </c>
      <c r="G6" s="1">
        <f t="shared" si="1"/>
        <v>133.82082245121202</v>
      </c>
      <c r="H6" s="2">
        <v>17.912222222222098</v>
      </c>
      <c r="I6" s="2">
        <v>13.6285277777777</v>
      </c>
      <c r="J6" s="1">
        <f t="shared" si="2"/>
        <v>-23.914924632466878</v>
      </c>
      <c r="K6" s="2">
        <v>5.0684825628369401</v>
      </c>
      <c r="L6" s="2">
        <v>5.5221990999972004</v>
      </c>
      <c r="M6" s="1">
        <f t="shared" si="3"/>
        <v>8.951723351817261</v>
      </c>
      <c r="N6" s="2">
        <v>128.69011111111101</v>
      </c>
      <c r="O6" s="2">
        <v>66.706222222222195</v>
      </c>
      <c r="P6" s="1">
        <f t="shared" si="4"/>
        <v>-48.165230687672604</v>
      </c>
      <c r="Q6" s="2">
        <v>0.64761825914307602</v>
      </c>
      <c r="R6" s="1">
        <v>3.0730078582847198</v>
      </c>
      <c r="S6" s="1">
        <f t="shared" si="5"/>
        <v>374.50914406751019</v>
      </c>
      <c r="T6" s="2">
        <v>33.754194444444401</v>
      </c>
      <c r="U6" s="2">
        <v>14.0157777777777</v>
      </c>
      <c r="V6" s="1">
        <f t="shared" si="6"/>
        <v>-58.476930027626373</v>
      </c>
      <c r="W6" s="2">
        <v>3.41788341561471</v>
      </c>
      <c r="X6" s="2">
        <v>5.4434167724861204</v>
      </c>
      <c r="Y6" s="1">
        <f t="shared" si="7"/>
        <v>59.262798362802435</v>
      </c>
    </row>
    <row r="7" spans="1:25" x14ac:dyDescent="0.3">
      <c r="A7" s="1">
        <v>4</v>
      </c>
      <c r="B7" s="2">
        <v>24.1281944444444</v>
      </c>
      <c r="C7" s="1">
        <v>15.74375</v>
      </c>
      <c r="D7" s="1">
        <f t="shared" si="0"/>
        <v>-34.749572595453557</v>
      </c>
      <c r="E7" s="2">
        <v>2.7169618897824899</v>
      </c>
      <c r="F7" s="2">
        <v>3.5775164450138801</v>
      </c>
      <c r="G7" s="1">
        <f t="shared" si="1"/>
        <v>31.67341280963949</v>
      </c>
      <c r="H7" s="2">
        <v>16.023027777777699</v>
      </c>
      <c r="I7" s="2">
        <v>10.243083333333299</v>
      </c>
      <c r="J7" s="1">
        <f t="shared" si="2"/>
        <v>-36.072735594084108</v>
      </c>
      <c r="K7" s="2">
        <v>4.2209091372277703</v>
      </c>
      <c r="L7" s="2">
        <v>4.8379032900805496</v>
      </c>
      <c r="M7" s="1">
        <f t="shared" si="3"/>
        <v>14.61756538208761</v>
      </c>
      <c r="N7" s="2">
        <v>87.717027777777702</v>
      </c>
      <c r="O7" s="2">
        <v>15.670583333333299</v>
      </c>
      <c r="P7" s="1">
        <f t="shared" si="4"/>
        <v>-82.135072596129049</v>
      </c>
      <c r="Q7" s="2">
        <v>1.77371036950867</v>
      </c>
      <c r="R7" s="2">
        <v>4.1759775560698902</v>
      </c>
      <c r="S7" s="1">
        <f t="shared" si="5"/>
        <v>135.43739879170153</v>
      </c>
      <c r="T7" s="2">
        <v>36.812555555555498</v>
      </c>
      <c r="U7" s="2">
        <v>9.3258888888888798</v>
      </c>
      <c r="V7" s="1">
        <f t="shared" si="6"/>
        <v>-74.666553983695167</v>
      </c>
      <c r="W7" s="2">
        <v>2.1168279480879999</v>
      </c>
      <c r="X7" s="2">
        <v>5.0063411979472203</v>
      </c>
      <c r="Y7" s="1">
        <f t="shared" si="7"/>
        <v>136.50203609930318</v>
      </c>
    </row>
    <row r="8" spans="1:25" x14ac:dyDescent="0.3">
      <c r="A8" s="1">
        <v>5</v>
      </c>
      <c r="B8" s="2">
        <v>73.503</v>
      </c>
      <c r="C8" s="2">
        <v>40.569527777777701</v>
      </c>
      <c r="D8" s="1">
        <f t="shared" si="0"/>
        <v>-44.805616399633074</v>
      </c>
      <c r="E8" s="2">
        <v>1.36450255446777</v>
      </c>
      <c r="F8" s="2">
        <v>3.19715143158612</v>
      </c>
      <c r="G8" s="1">
        <f t="shared" si="1"/>
        <v>134.30893706411436</v>
      </c>
      <c r="H8" s="2">
        <v>28.4486666666667</v>
      </c>
      <c r="I8" s="2">
        <v>27.407611111111098</v>
      </c>
      <c r="J8" s="1">
        <f t="shared" si="2"/>
        <v>-3.6594177426789791</v>
      </c>
      <c r="K8" s="2">
        <v>3.0634561981083301</v>
      </c>
      <c r="L8" s="2">
        <v>3.5094510052333199</v>
      </c>
      <c r="M8" s="1">
        <f t="shared" si="3"/>
        <v>14.558550156532005</v>
      </c>
      <c r="N8" s="2">
        <v>98.057722222222196</v>
      </c>
      <c r="O8" s="2">
        <v>80.722583333333304</v>
      </c>
      <c r="P8" s="1">
        <f t="shared" si="4"/>
        <v>-17.67850455429031</v>
      </c>
      <c r="Q8" s="2">
        <v>0.94529235593292105</v>
      </c>
      <c r="R8" s="2">
        <v>2.50186038125221</v>
      </c>
      <c r="S8" s="1">
        <f t="shared" si="5"/>
        <v>164.66525044340298</v>
      </c>
      <c r="T8" s="1">
        <v>73.706972222222007</v>
      </c>
      <c r="U8" s="2">
        <v>30.410777777777799</v>
      </c>
      <c r="V8" s="1">
        <f t="shared" si="6"/>
        <v>-58.740975431617024</v>
      </c>
      <c r="W8" s="2">
        <v>1.5753456668985999</v>
      </c>
      <c r="X8" s="2">
        <v>3.2377566707333298</v>
      </c>
      <c r="Y8" s="1">
        <f t="shared" si="7"/>
        <v>105.52674494020964</v>
      </c>
    </row>
    <row r="9" spans="1:25" x14ac:dyDescent="0.3">
      <c r="A9" s="1">
        <v>6</v>
      </c>
      <c r="B9" s="2">
        <v>29.454805555555499</v>
      </c>
      <c r="C9" s="2">
        <v>22.320138888888799</v>
      </c>
      <c r="D9" s="1">
        <f t="shared" si="0"/>
        <v>-24.222419846601309</v>
      </c>
      <c r="E9" s="2">
        <v>2.8830444285207499</v>
      </c>
      <c r="F9" s="2">
        <v>4.1088029940333302</v>
      </c>
      <c r="G9" s="1">
        <f t="shared" si="1"/>
        <v>42.516117801954927</v>
      </c>
      <c r="H9" s="2">
        <v>25.299388888888799</v>
      </c>
      <c r="I9" s="2">
        <v>20.693472222222098</v>
      </c>
      <c r="J9" s="1">
        <f t="shared" si="2"/>
        <v>-18.205643965928232</v>
      </c>
      <c r="K9" s="2">
        <v>3.93391537504445</v>
      </c>
      <c r="L9" s="1">
        <v>4.3288245040434701</v>
      </c>
      <c r="M9" s="1">
        <f t="shared" si="3"/>
        <v>10.038577126091788</v>
      </c>
      <c r="N9" s="2">
        <v>61.393333333333103</v>
      </c>
      <c r="O9" s="2">
        <v>22.4930555555555</v>
      </c>
      <c r="P9" s="1">
        <f t="shared" si="4"/>
        <v>-63.362381004090153</v>
      </c>
      <c r="Q9" s="2">
        <v>2.0004157719362801</v>
      </c>
      <c r="R9" s="2">
        <v>3.8505445727261001</v>
      </c>
      <c r="S9" s="1">
        <f t="shared" si="5"/>
        <v>92.487213245624858</v>
      </c>
      <c r="T9" s="1">
        <v>31.464833333333299</v>
      </c>
      <c r="U9" s="2">
        <v>21.426777777777701</v>
      </c>
      <c r="V9" s="1">
        <f t="shared" si="6"/>
        <v>-31.902459006262895</v>
      </c>
      <c r="W9" s="2">
        <v>3.1309612921019401</v>
      </c>
      <c r="X9" s="2">
        <v>4.2643601417944401</v>
      </c>
      <c r="Y9" s="1">
        <f t="shared" si="7"/>
        <v>36.199708139208703</v>
      </c>
    </row>
    <row r="10" spans="1:25" x14ac:dyDescent="0.3">
      <c r="A10" s="1">
        <v>7</v>
      </c>
      <c r="B10" s="2">
        <v>12.261805555555499</v>
      </c>
      <c r="C10" s="2">
        <v>0.62511111111111195</v>
      </c>
      <c r="D10" s="1">
        <f t="shared" si="0"/>
        <v>-94.90196522625584</v>
      </c>
      <c r="E10" s="2">
        <v>4.6337985854977797</v>
      </c>
      <c r="F10" s="2">
        <v>10.8064547543388</v>
      </c>
      <c r="G10" s="1">
        <f t="shared" si="1"/>
        <v>133.20941890222298</v>
      </c>
      <c r="H10" s="2">
        <v>3.0358611111111098</v>
      </c>
      <c r="I10" s="2">
        <v>0.67369444444444504</v>
      </c>
      <c r="J10" s="1">
        <f t="shared" si="2"/>
        <v>-77.808785718860634</v>
      </c>
      <c r="K10" s="2">
        <v>9.4011407740833306</v>
      </c>
      <c r="L10" s="2">
        <v>10.734964025213801</v>
      </c>
      <c r="M10" s="1">
        <f t="shared" si="3"/>
        <v>14.187887227553253</v>
      </c>
      <c r="N10" s="2">
        <v>22.546444444444401</v>
      </c>
      <c r="O10" s="2">
        <v>2.02847222222222</v>
      </c>
      <c r="P10" s="1">
        <f t="shared" si="4"/>
        <v>-91.003139199085339</v>
      </c>
      <c r="Q10" s="2">
        <v>5.7905799261829101</v>
      </c>
      <c r="R10" s="2">
        <v>10.0100102846287</v>
      </c>
      <c r="S10" s="1">
        <f t="shared" si="5"/>
        <v>72.86714650750352</v>
      </c>
      <c r="T10" s="2">
        <v>10.5275833333333</v>
      </c>
      <c r="U10" s="2">
        <v>1.20677777777777</v>
      </c>
      <c r="V10" s="1">
        <f t="shared" si="6"/>
        <v>-88.536991448390907</v>
      </c>
      <c r="W10" s="2">
        <v>4.3461737574660999</v>
      </c>
      <c r="X10" s="2">
        <v>10.036450012050199</v>
      </c>
      <c r="Y10" s="1">
        <f t="shared" si="7"/>
        <v>130.92611046231241</v>
      </c>
    </row>
    <row r="11" spans="1:25" x14ac:dyDescent="0.3">
      <c r="A11" s="1">
        <v>8</v>
      </c>
      <c r="B11" s="2">
        <v>55.609055555555599</v>
      </c>
      <c r="C11" s="2">
        <v>3.9874166666666699</v>
      </c>
      <c r="D11" s="1">
        <f t="shared" si="0"/>
        <v>-92.829555138401716</v>
      </c>
      <c r="E11" s="2">
        <v>2.9128095511406902</v>
      </c>
      <c r="F11" s="2">
        <v>9.5219307479472199</v>
      </c>
      <c r="G11" s="1">
        <f t="shared" si="1"/>
        <v>226.89850059775867</v>
      </c>
      <c r="H11" s="2">
        <v>15.081027777777701</v>
      </c>
      <c r="I11" s="2">
        <v>5.2739722222222296</v>
      </c>
      <c r="J11" s="1">
        <f t="shared" si="2"/>
        <v>-65.029092844762431</v>
      </c>
      <c r="K11" s="2">
        <v>6.8334221095027798</v>
      </c>
      <c r="L11" s="2">
        <v>9.1353713444971891</v>
      </c>
      <c r="M11" s="1">
        <f t="shared" si="3"/>
        <v>33.686624331215299</v>
      </c>
      <c r="N11" s="2">
        <v>216.28866666666701</v>
      </c>
      <c r="O11" s="2">
        <v>10.201472222222201</v>
      </c>
      <c r="P11" s="1">
        <f t="shared" si="4"/>
        <v>-95.283399551422548</v>
      </c>
      <c r="Q11" s="1">
        <v>0.63766461986698297</v>
      </c>
      <c r="R11" s="2">
        <v>7.6381648447083297</v>
      </c>
      <c r="S11" s="1">
        <f t="shared" si="5"/>
        <v>1097.8341916322177</v>
      </c>
      <c r="T11" s="2">
        <v>63.133166666666597</v>
      </c>
      <c r="U11" s="2">
        <v>13.872916666666599</v>
      </c>
      <c r="V11" s="1">
        <f t="shared" si="6"/>
        <v>-78.025945158250238</v>
      </c>
      <c r="W11" s="2">
        <v>2.40524483511361</v>
      </c>
      <c r="X11" s="1">
        <v>8.6093022448259102</v>
      </c>
      <c r="Y11" s="1">
        <f t="shared" si="7"/>
        <v>257.93870624481588</v>
      </c>
    </row>
    <row r="12" spans="1:25" x14ac:dyDescent="0.3">
      <c r="A12" s="1">
        <v>9</v>
      </c>
      <c r="B12" s="2">
        <v>49.047111111111001</v>
      </c>
      <c r="C12" s="2">
        <v>7.2362500000000001</v>
      </c>
      <c r="D12" s="1">
        <f t="shared" si="0"/>
        <v>-85.246327793685865</v>
      </c>
      <c r="E12" s="2">
        <v>3.4013189812397102</v>
      </c>
      <c r="F12" s="2">
        <v>9.2797751652939802</v>
      </c>
      <c r="G12" s="1">
        <f t="shared" si="1"/>
        <v>172.82872369446793</v>
      </c>
      <c r="H12" s="2">
        <v>11.933111111111099</v>
      </c>
      <c r="I12" s="2">
        <v>4.8563888888888798</v>
      </c>
      <c r="J12" s="1">
        <f t="shared" si="2"/>
        <v>-59.303245870500419</v>
      </c>
      <c r="K12" s="2">
        <v>7.2049102014999704</v>
      </c>
      <c r="L12" s="1">
        <v>9.3616061386944498</v>
      </c>
      <c r="M12" s="1">
        <f t="shared" si="3"/>
        <v>29.933696283202572</v>
      </c>
      <c r="N12" s="2">
        <v>162.55891666666599</v>
      </c>
      <c r="O12" s="2">
        <v>6.1812777777777601</v>
      </c>
      <c r="P12" s="1">
        <f t="shared" si="4"/>
        <v>-96.197515396554508</v>
      </c>
      <c r="Q12" s="1">
        <v>1.0301386603931499</v>
      </c>
      <c r="R12" s="2">
        <v>8.9352150821083303</v>
      </c>
      <c r="S12" s="1">
        <f t="shared" si="5"/>
        <v>767.37984172909569</v>
      </c>
      <c r="T12" s="2">
        <v>57.774027777777803</v>
      </c>
      <c r="U12" s="2">
        <v>7.6421111111110998</v>
      </c>
      <c r="V12" s="1">
        <f t="shared" si="6"/>
        <v>-86.772410709348947</v>
      </c>
      <c r="W12" s="2">
        <v>2.4978656135728801</v>
      </c>
      <c r="X12" s="2">
        <v>9.2526659439845194</v>
      </c>
      <c r="Y12" s="1">
        <f t="shared" si="7"/>
        <v>270.42288799315162</v>
      </c>
    </row>
    <row r="13" spans="1:25" x14ac:dyDescent="0.3">
      <c r="A13" s="1">
        <v>10</v>
      </c>
      <c r="B13" s="2">
        <v>203.24036111111101</v>
      </c>
      <c r="C13" s="2">
        <v>3.2394722222222101</v>
      </c>
      <c r="D13" s="1">
        <f t="shared" si="0"/>
        <v>-98.406088138934564</v>
      </c>
      <c r="E13" s="2">
        <v>1.6028491995172101</v>
      </c>
      <c r="F13" s="2">
        <v>9.6221631517166895</v>
      </c>
      <c r="G13" s="1">
        <f t="shared" si="1"/>
        <v>500.31618411856556</v>
      </c>
      <c r="H13" s="2">
        <v>12.975</v>
      </c>
      <c r="I13" s="2">
        <v>4.3592222222222201</v>
      </c>
      <c r="J13" s="1">
        <f t="shared" si="2"/>
        <v>-66.402911582102348</v>
      </c>
      <c r="K13" s="2">
        <v>6.8726363429610897</v>
      </c>
      <c r="L13" s="2">
        <v>9.2731074463944392</v>
      </c>
      <c r="M13" s="1">
        <f t="shared" si="3"/>
        <v>34.927951715238024</v>
      </c>
      <c r="N13" s="2">
        <v>315.45686111111098</v>
      </c>
      <c r="O13" s="2">
        <v>8.2503333333333195</v>
      </c>
      <c r="P13" s="1">
        <f t="shared" si="4"/>
        <v>-97.384639755726411</v>
      </c>
      <c r="Q13" s="1">
        <v>0.37988990444012799</v>
      </c>
      <c r="R13" s="2">
        <v>8.1731385480583292</v>
      </c>
      <c r="S13" s="1">
        <f t="shared" si="5"/>
        <v>2051.4492626761671</v>
      </c>
      <c r="T13" s="2">
        <v>215.09738888888799</v>
      </c>
      <c r="U13" s="2">
        <v>4.7806666666666597</v>
      </c>
      <c r="V13" s="1">
        <f t="shared" si="6"/>
        <v>-97.777440864641932</v>
      </c>
      <c r="W13" s="2">
        <v>1.33930813788501</v>
      </c>
      <c r="X13" s="2">
        <v>9.1298262380527504</v>
      </c>
      <c r="Y13" s="1">
        <f t="shared" si="7"/>
        <v>581.68227906613504</v>
      </c>
    </row>
    <row r="14" spans="1:25" x14ac:dyDescent="0.3">
      <c r="A14" s="1">
        <v>11</v>
      </c>
      <c r="B14" s="2">
        <v>102.34077777777701</v>
      </c>
      <c r="C14" s="2">
        <v>22.491888888888798</v>
      </c>
      <c r="D14" s="1">
        <f t="shared" si="0"/>
        <v>-78.022554276724648</v>
      </c>
      <c r="E14" s="2">
        <v>2.1622445945411002</v>
      </c>
      <c r="F14" s="2">
        <v>6.3128975487249797</v>
      </c>
      <c r="G14" s="1">
        <f t="shared" si="1"/>
        <v>191.96038064624162</v>
      </c>
      <c r="H14" s="2">
        <v>36.796388888888899</v>
      </c>
      <c r="I14" s="2">
        <v>22.2365833333333</v>
      </c>
      <c r="J14" s="1">
        <f t="shared" si="2"/>
        <v>-39.568571795239677</v>
      </c>
      <c r="K14" s="2">
        <v>4.7378925928166602</v>
      </c>
      <c r="L14" s="1">
        <v>6.1871262170805696</v>
      </c>
      <c r="M14" s="1">
        <f t="shared" si="3"/>
        <v>30.588148546490057</v>
      </c>
      <c r="N14" s="2">
        <v>213.540416666666</v>
      </c>
      <c r="O14" s="2">
        <v>30.5949999999998</v>
      </c>
      <c r="P14" s="1">
        <f t="shared" si="4"/>
        <v>-85.672501497569783</v>
      </c>
      <c r="Q14" s="2">
        <v>0.658453710909228</v>
      </c>
      <c r="R14" s="2">
        <v>4.7513620945749899</v>
      </c>
      <c r="S14" s="1">
        <f t="shared" si="5"/>
        <v>621.59394287778491</v>
      </c>
      <c r="T14" s="2">
        <v>147.671666666666</v>
      </c>
      <c r="U14" s="2">
        <v>24.1971666666666</v>
      </c>
      <c r="V14" s="1">
        <f t="shared" si="6"/>
        <v>-83.61421170840714</v>
      </c>
      <c r="W14" s="2">
        <v>1.5276175752085901</v>
      </c>
      <c r="X14" s="2">
        <v>5.9596852111972201</v>
      </c>
      <c r="Y14" s="1">
        <f t="shared" si="7"/>
        <v>290.12939546623431</v>
      </c>
    </row>
    <row r="15" spans="1:25" x14ac:dyDescent="0.3">
      <c r="A15" s="1"/>
      <c r="B15" s="1">
        <f>AVERAGE(B3:B14)</f>
        <v>55.278699074073963</v>
      </c>
      <c r="C15" s="1">
        <f t="shared" ref="C15:X15" si="8">AVERAGE(C3:C14)</f>
        <v>15.68983333333331</v>
      </c>
      <c r="D15" s="1">
        <f>(C15-B15)/B15*100</f>
        <v>-71.616854961965032</v>
      </c>
      <c r="E15" s="1">
        <f t="shared" si="8"/>
        <v>2.7564750124417245</v>
      </c>
      <c r="F15" s="1">
        <f t="shared" si="8"/>
        <v>7.0167174910646297</v>
      </c>
      <c r="G15" s="1">
        <f>(F15-E15)/E15*100</f>
        <v>154.55400318862755</v>
      </c>
      <c r="H15" s="1">
        <f t="shared" si="8"/>
        <v>19.347226851851818</v>
      </c>
      <c r="I15" s="1">
        <f t="shared" si="8"/>
        <v>13.687196759259223</v>
      </c>
      <c r="J15" s="1">
        <f>(I15-H15)/H15*100</f>
        <v>-29.254994195981354</v>
      </c>
      <c r="K15" s="1">
        <f t="shared" si="8"/>
        <v>5.6608918512654327</v>
      </c>
      <c r="L15" s="1">
        <f t="shared" si="8"/>
        <v>6.9225333854304596</v>
      </c>
      <c r="M15" s="1">
        <f>(L15-K15)/K15*100</f>
        <v>22.286974690798946</v>
      </c>
      <c r="N15" s="1">
        <f t="shared" si="8"/>
        <v>124.13385416666654</v>
      </c>
      <c r="O15" s="1">
        <f t="shared" si="8"/>
        <v>26.26878472222219</v>
      </c>
      <c r="P15" s="1">
        <f>(O15-N15)/N15*100</f>
        <v>-78.838339550020905</v>
      </c>
      <c r="Q15" s="1">
        <f t="shared" si="8"/>
        <v>1.8663322703227969</v>
      </c>
      <c r="R15" s="1">
        <f t="shared" si="8"/>
        <v>5.9566178877791742</v>
      </c>
      <c r="S15" s="1">
        <f>(R15-Q15)/Q15*100</f>
        <v>219.16170461698817</v>
      </c>
      <c r="T15" s="1">
        <f t="shared" si="8"/>
        <v>64.349511574073901</v>
      </c>
      <c r="U15" s="1">
        <f t="shared" si="8"/>
        <v>15.799145833333299</v>
      </c>
      <c r="V15" s="1">
        <f>(U15-T15)/T15*100</f>
        <v>-75.44791646919245</v>
      </c>
      <c r="W15" s="1">
        <f t="shared" si="8"/>
        <v>2.5024855445045477</v>
      </c>
      <c r="X15" s="1">
        <f t="shared" si="8"/>
        <v>6.5501177067909042</v>
      </c>
      <c r="Y15" s="1">
        <f>(X15-W15)/W15*100</f>
        <v>161.7444772528236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Travid</dc:creator>
  <cp:lastModifiedBy>Travid Pei</cp:lastModifiedBy>
  <dcterms:created xsi:type="dcterms:W3CDTF">2015-06-05T18:17:20Z</dcterms:created>
  <dcterms:modified xsi:type="dcterms:W3CDTF">2026-04-21T07:33:49Z</dcterms:modified>
</cp:coreProperties>
</file>